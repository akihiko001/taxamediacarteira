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kihi\Downloads\Excel\"/>
    </mc:Choice>
  </mc:AlternateContent>
  <xr:revisionPtr revIDLastSave="0" documentId="13_ncr:1_{D4E54E2A-0399-48BD-8E60-6A3DCD5AC83B}" xr6:coauthVersionLast="47" xr6:coauthVersionMax="47" xr10:uidLastSave="{00000000-0000-0000-0000-000000000000}"/>
  <bookViews>
    <workbookView xWindow="-120" yWindow="-120" windowWidth="29040" windowHeight="15720" firstSheet="4" activeTab="5" xr2:uid="{00000000-000D-0000-FFFF-FFFF00000000}"/>
  </bookViews>
  <sheets>
    <sheet name="Ratings" sheetId="2" state="hidden" r:id="rId1"/>
    <sheet name="Volume" sheetId="3" state="hidden" r:id="rId2"/>
    <sheet name="Histórico" sheetId="5" state="hidden" r:id="rId3"/>
    <sheet name="Dashboard 1" sheetId="6" state="hidden" r:id="rId4"/>
    <sheet name="Orientação" sheetId="14" r:id="rId5"/>
    <sheet name="Dashboard" sheetId="11" r:id="rId6"/>
    <sheet name="Parâmetros" sheetId="13" r:id="rId7"/>
    <sheet name="Descrição das fórmulas" sheetId="10" r:id="rId8"/>
    <sheet name="TEMP" sheetId="15" r:id="rId9"/>
    <sheet name="QPROF" sheetId="17" r:id="rId10"/>
  </sheets>
  <functionGroups builtInGroupCount="19"/>
  <definedNames>
    <definedName name="_xlnm._FilterDatabase" localSheetId="5" hidden="1">Dashboard!$B$4:$O$10</definedName>
    <definedName name="_xleta.COLUMNS" hidden="1" xlm="1">#NAME?</definedName>
    <definedName name="_xleta.SUM" hidden="1" xlm="1">#NAME?</definedName>
    <definedName name="_xleta.SUMPRODUC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1" l="1"/>
  <c r="L8" i="11"/>
  <c r="K10" i="11" l="1"/>
  <c r="J10" i="11" s="1"/>
  <c r="I10" i="11"/>
  <c r="L10" i="11" s="1"/>
  <c r="K9" i="11"/>
  <c r="J9" i="11" s="1"/>
  <c r="I9" i="11"/>
  <c r="L9" i="11" s="1"/>
  <c r="K6" i="11"/>
  <c r="J6" i="11" s="1"/>
  <c r="K7" i="11"/>
  <c r="J7" i="11" s="1"/>
  <c r="K8" i="11"/>
  <c r="J8" i="11" s="1"/>
  <c r="K5" i="11"/>
  <c r="J5" i="11" s="1"/>
  <c r="I6" i="11"/>
  <c r="L6" i="11" s="1"/>
  <c r="I7" i="11"/>
  <c r="L7" i="11" s="1"/>
  <c r="I8" i="11"/>
  <c r="L5" i="11"/>
  <c r="O10" i="11"/>
  <c r="N10" i="11"/>
  <c r="M10" i="11"/>
  <c r="N9" i="11" l="1"/>
  <c r="M9" i="11"/>
  <c r="O9" i="11"/>
  <c r="M5" i="11"/>
  <c r="M8" i="11"/>
  <c r="M7" i="11"/>
  <c r="O8" i="11"/>
  <c r="N8" i="11"/>
  <c r="N7" i="11"/>
  <c r="M6" i="11"/>
  <c r="O6" i="11"/>
  <c r="N6" i="11"/>
  <c r="O7" i="11"/>
  <c r="B16" i="6" l="1"/>
  <c r="B15" i="6"/>
  <c r="B14" i="6"/>
  <c r="B13" i="6"/>
  <c r="B12" i="6"/>
  <c r="B11" i="6"/>
  <c r="B7" i="6"/>
  <c r="B6" i="6"/>
  <c r="B5" i="6"/>
  <c r="B4" i="6"/>
  <c r="O5" i="11"/>
  <c r="N5" i="11"/>
</calcChain>
</file>

<file path=xl/sharedStrings.xml><?xml version="1.0" encoding="utf-8"?>
<sst xmlns="http://schemas.openxmlformats.org/spreadsheetml/2006/main" count="139" uniqueCount="94">
  <si>
    <t>Setor</t>
  </si>
  <si>
    <t>Varejo</t>
  </si>
  <si>
    <t>Indústria</t>
  </si>
  <si>
    <t>Construção Civil</t>
  </si>
  <si>
    <t>Rating</t>
  </si>
  <si>
    <t>Spread Risco (a.a.)</t>
  </si>
  <si>
    <t>AAA</t>
  </si>
  <si>
    <t>AA</t>
  </si>
  <si>
    <t>A</t>
  </si>
  <si>
    <t>BBB</t>
  </si>
  <si>
    <t>BB</t>
  </si>
  <si>
    <t>B</t>
  </si>
  <si>
    <t>Volume Operação (R$)</t>
  </si>
  <si>
    <t>Ajuste Spread</t>
  </si>
  <si>
    <t>Até 500 mil</t>
  </si>
  <si>
    <t>500 mil – 2 milhões</t>
  </si>
  <si>
    <t>Acima de 2 milhões</t>
  </si>
  <si>
    <t>Prazo (dias)</t>
  </si>
  <si>
    <t>CDI (a.a.)</t>
  </si>
  <si>
    <t>Taxa Final (a.a.)</t>
  </si>
  <si>
    <t>Taxa no Prazo</t>
  </si>
  <si>
    <t>Data</t>
  </si>
  <si>
    <t>Valor Operação (R$)</t>
  </si>
  <si>
    <t>Valor Líquido (R$)</t>
  </si>
  <si>
    <t>2025-10-01</t>
  </si>
  <si>
    <t>📊 Dashboard de Simulações - FIDC</t>
  </si>
  <si>
    <t>Exemplos de KPIs:</t>
  </si>
  <si>
    <t>Número de Simulações:</t>
  </si>
  <si>
    <t>Ticket Médio (R$):</t>
  </si>
  <si>
    <t>Taxa Média Final (a.a.):</t>
  </si>
  <si>
    <t>Setor mais Frequente:</t>
  </si>
  <si>
    <t>Resumo por Rating</t>
  </si>
  <si>
    <t>Cedente</t>
  </si>
  <si>
    <t>Sacado</t>
  </si>
  <si>
    <t>Nível de risco</t>
  </si>
  <si>
    <t>Valor (nominal)</t>
  </si>
  <si>
    <t>Pagamento ao cedente</t>
  </si>
  <si>
    <t>Cedente 1</t>
  </si>
  <si>
    <t>Cedente 2</t>
  </si>
  <si>
    <t>Cedente 3</t>
  </si>
  <si>
    <t>Sacado 1</t>
  </si>
  <si>
    <t>Receita da operação</t>
  </si>
  <si>
    <t>Tarifas</t>
  </si>
  <si>
    <t>A+</t>
  </si>
  <si>
    <t>Receita esperada</t>
  </si>
  <si>
    <t>C</t>
  </si>
  <si>
    <t>Tx desconto mínimo</t>
  </si>
  <si>
    <t>Prazo médio (dias)</t>
  </si>
  <si>
    <t>Tx desconto operação</t>
  </si>
  <si>
    <t>Tx indicada</t>
  </si>
  <si>
    <t>Tx desconto</t>
  </si>
  <si>
    <t>Cedente 4</t>
  </si>
  <si>
    <t>Cedente 5</t>
  </si>
  <si>
    <t>Total Receita da Operação</t>
  </si>
  <si>
    <t>Total Receita Esperada</t>
  </si>
  <si>
    <t>NÍVEL DE RISCO</t>
  </si>
  <si>
    <t>D</t>
  </si>
  <si>
    <t>Tx efetiva da operação</t>
  </si>
  <si>
    <t>Tx efetiva esperada</t>
  </si>
  <si>
    <r>
      <t xml:space="preserve">A unidade das taxas estão em % </t>
    </r>
    <r>
      <rPr>
        <b/>
        <u/>
        <sz val="11"/>
        <color theme="1"/>
        <rFont val="Calibri"/>
        <family val="2"/>
        <scheme val="minor"/>
      </rPr>
      <t>ao mês</t>
    </r>
    <r>
      <rPr>
        <b/>
        <sz val="11"/>
        <color theme="1"/>
        <rFont val="Calibri"/>
        <family val="2"/>
        <scheme val="minor"/>
      </rPr>
      <t xml:space="preserve"> (30 dias).</t>
    </r>
  </si>
  <si>
    <t>Se ela não for executada, há necessidade de habilitar o arquivo como seguro. Para tanto, siga os passos descritos logo abaixo da Imagem 1.</t>
  </si>
  <si>
    <t>Imagem 1</t>
  </si>
  <si>
    <t>Imagem 2</t>
  </si>
  <si>
    <t>Imagem 3</t>
  </si>
  <si>
    <r>
      <rPr>
        <b/>
        <sz val="11"/>
        <color theme="1"/>
        <rFont val="Calibri"/>
        <family val="2"/>
        <scheme val="minor"/>
      </rPr>
      <t>Passo 1</t>
    </r>
    <r>
      <rPr>
        <sz val="11"/>
        <color theme="1"/>
        <rFont val="Calibri"/>
        <family val="2"/>
        <scheme val="minor"/>
      </rPr>
      <t>. Clique sobre o nome do arquivo com o botão direito ou com o nome do arquivo selecionado, tecle ALT+ENTER</t>
    </r>
  </si>
  <si>
    <r>
      <rPr>
        <b/>
        <sz val="11"/>
        <color theme="1"/>
        <rFont val="Calibri"/>
        <family val="2"/>
        <scheme val="minor"/>
      </rPr>
      <t>Passo 3</t>
    </r>
    <r>
      <rPr>
        <sz val="11"/>
        <color theme="1"/>
        <rFont val="Calibri"/>
        <family val="2"/>
        <scheme val="minor"/>
      </rPr>
      <t>. Clicando sobre a opção Propriedades, abrirá a nova janela da Imagem 3. Se no passo 1 foi usado as tecla ALT+ENTER, será aberta diretamente essa janela.</t>
    </r>
  </si>
  <si>
    <r>
      <rPr>
        <b/>
        <sz val="11"/>
        <color theme="1"/>
        <rFont val="Calibri"/>
        <family val="2"/>
        <scheme val="minor"/>
      </rPr>
      <t>Passo 4</t>
    </r>
    <r>
      <rPr>
        <sz val="11"/>
        <color theme="1"/>
        <rFont val="Calibri"/>
        <family val="2"/>
        <scheme val="minor"/>
      </rPr>
      <t>. Na parte inferior da janela de Propriedades, habilitar a opção Desbloquear e clicar em Ok ou Aplicar.</t>
    </r>
  </si>
  <si>
    <r>
      <rPr>
        <b/>
        <sz val="11"/>
        <color theme="1"/>
        <rFont val="Calibri"/>
        <family val="2"/>
        <scheme val="minor"/>
      </rPr>
      <t>Passo 5</t>
    </r>
    <r>
      <rPr>
        <sz val="11"/>
        <color theme="1"/>
        <rFont val="Calibri"/>
        <family val="2"/>
        <scheme val="minor"/>
      </rPr>
      <t>. Pronto! A macro com cálculos relevantes para avaliar as operações estará habilitada.</t>
    </r>
  </si>
  <si>
    <r>
      <rPr>
        <b/>
        <sz val="11"/>
        <color theme="1"/>
        <rFont val="Calibri"/>
        <family val="2"/>
        <scheme val="minor"/>
      </rPr>
      <t>Executar a macro manualmente</t>
    </r>
    <r>
      <rPr>
        <sz val="11"/>
        <color theme="1"/>
        <rFont val="Calibri"/>
        <family val="2"/>
        <scheme val="minor"/>
      </rPr>
      <t xml:space="preserve">. Caso a macro tenha sido fechada e seja necessária executar a macro, clique no botão abaixo. </t>
    </r>
  </si>
  <si>
    <t>Sacado 2</t>
  </si>
  <si>
    <t>Sacado 3</t>
  </si>
  <si>
    <t>Cedente6</t>
  </si>
  <si>
    <t>Código Operação</t>
  </si>
  <si>
    <t>Tarifa</t>
  </si>
  <si>
    <t>Taxa Desconto</t>
  </si>
  <si>
    <t>Prazo Médio</t>
  </si>
  <si>
    <t>OP12345</t>
  </si>
  <si>
    <t>Empresa Alfa</t>
  </si>
  <si>
    <t>Cliente Beta</t>
  </si>
  <si>
    <t>OP67890</t>
  </si>
  <si>
    <t>Empresa Gama</t>
  </si>
  <si>
    <t>Cliente Delta</t>
  </si>
  <si>
    <t>Cód. Cedente</t>
  </si>
  <si>
    <t>Cód. Sacado</t>
  </si>
  <si>
    <t>Valor Total</t>
  </si>
  <si>
    <t>Prazo Médio (dias)</t>
  </si>
  <si>
    <t>Tarifa Total</t>
  </si>
  <si>
    <t>Taxa de Deságio</t>
  </si>
  <si>
    <t>Certifique-se de ter:</t>
  </si>
  <si>
    <t xml:space="preserve"> 1) Importado JsonConverter.bas do VBA-JSON. Senão, baixe-o em VBA-JSON GitHub repository.
</t>
  </si>
  <si>
    <r>
      <rPr>
        <b/>
        <sz val="11"/>
        <color theme="1"/>
        <rFont val="Calibri"/>
        <family val="2"/>
        <scheme val="minor"/>
      </rPr>
      <t>Habilitar a macro</t>
    </r>
    <r>
      <rPr>
        <sz val="11"/>
        <color theme="1"/>
        <rFont val="Calibri"/>
        <family val="2"/>
        <scheme val="minor"/>
      </rPr>
      <t>. A macro é autoexecutável, ou seja, ela é executada ao abrir o arquivo ou clicando no botão EXECUTAR MACRO.</t>
    </r>
  </si>
  <si>
    <t>Imagem 4</t>
  </si>
  <si>
    <r>
      <rPr>
        <b/>
        <sz val="11"/>
        <color theme="1"/>
        <rFont val="Calibri"/>
        <family val="2"/>
        <scheme val="minor"/>
      </rPr>
      <t>Passo 2</t>
    </r>
    <r>
      <rPr>
        <sz val="11"/>
        <color theme="1"/>
        <rFont val="Calibri"/>
        <family val="2"/>
        <scheme val="minor"/>
      </rPr>
      <t>. Se você clicou com o botão direito do mouse, irá abrir a janela com as diversas opções e uma delas é Propriedades mostrada na Imagem 2.</t>
    </r>
  </si>
  <si>
    <t xml:space="preserve"> 2) Marcado Ferramentas &gt; Referências &gt; Microsoft Scripting Runtime (ver imagem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</si>
</sst>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164" formatCode="0.000%"/>
    <numFmt numFmtId="165" formatCode="\R&quot;R$&quot;\ 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1" applyNumberFormat="1" applyFont="1"/>
    <xf numFmtId="4" fontId="0" fillId="0" borderId="0" xfId="0" applyNumberFormat="1"/>
    <xf numFmtId="0" fontId="0" fillId="2" borderId="0" xfId="0" applyFill="1"/>
    <xf numFmtId="0" fontId="0" fillId="0" borderId="0" xfId="0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8" fontId="0" fillId="0" borderId="0" xfId="0" applyNumberFormat="1" applyProtection="1">
      <protection locked="0"/>
    </xf>
    <xf numFmtId="0" fontId="2" fillId="0" borderId="0" xfId="0" applyFont="1"/>
    <xf numFmtId="164" fontId="0" fillId="0" borderId="0" xfId="0" applyNumberFormat="1" applyAlignment="1" applyProtection="1">
      <alignment horizontal="center"/>
      <protection locked="0"/>
    </xf>
    <xf numFmtId="8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8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 wrapText="1"/>
      <protection locked="0"/>
    </xf>
    <xf numFmtId="8" fontId="0" fillId="3" borderId="1" xfId="0" applyNumberFormat="1" applyFill="1" applyBorder="1" applyAlignment="1" applyProtection="1">
      <alignment horizontal="center" wrapText="1"/>
      <protection locked="0"/>
    </xf>
    <xf numFmtId="164" fontId="0" fillId="4" borderId="1" xfId="0" applyNumberFormat="1" applyFill="1" applyBorder="1" applyAlignment="1" applyProtection="1">
      <alignment horizontal="center" wrapText="1"/>
      <protection locked="0"/>
    </xf>
    <xf numFmtId="165" fontId="0" fillId="0" borderId="0" xfId="0" applyNumberFormat="1"/>
    <xf numFmtId="10" fontId="2" fillId="0" borderId="0" xfId="1" applyNumberFormat="1" applyFont="1"/>
    <xf numFmtId="165" fontId="2" fillId="0" borderId="0" xfId="0" applyNumberFormat="1" applyFont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colors>
    <mruColors>
      <color rgb="FFEAEAEA"/>
      <color rgb="FF81F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Valores de Operações por Setor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Histórico!$B$1</c:f>
              <c:strCache>
                <c:ptCount val="1"/>
                <c:pt idx="0">
                  <c:v>Valor Operação (R$)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Histórico!$C$2:$C$4</c:f>
              <c:strCache>
                <c:ptCount val="3"/>
                <c:pt idx="0">
                  <c:v>Varejo</c:v>
                </c:pt>
                <c:pt idx="1">
                  <c:v>Indústria</c:v>
                </c:pt>
                <c:pt idx="2">
                  <c:v>Construção Civil</c:v>
                </c:pt>
              </c:strCache>
            </c:strRef>
          </c:cat>
          <c:val>
            <c:numRef>
              <c:f>Histórico!$B$2:$B$4</c:f>
              <c:numCache>
                <c:formatCode>General</c:formatCode>
                <c:ptCount val="3"/>
                <c:pt idx="0">
                  <c:v>1000000</c:v>
                </c:pt>
                <c:pt idx="1">
                  <c:v>2000000</c:v>
                </c:pt>
                <c:pt idx="2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4-4079-8FE4-A9B18F35D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Setor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Valor Operação (R$)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de Operações por Rating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'Dashboard 1'!$A$11:$A$16</c:f>
              <c:strCache>
                <c:ptCount val="6"/>
                <c:pt idx="0">
                  <c:v>AAA</c:v>
                </c:pt>
                <c:pt idx="1">
                  <c:v>AA</c:v>
                </c:pt>
                <c:pt idx="2">
                  <c:v>A</c:v>
                </c:pt>
                <c:pt idx="3">
                  <c:v>BBB</c:v>
                </c:pt>
                <c:pt idx="4">
                  <c:v>BB</c:v>
                </c:pt>
                <c:pt idx="5">
                  <c:v>B</c:v>
                </c:pt>
              </c:strCache>
            </c:strRef>
          </c:cat>
          <c:val>
            <c:numRef>
              <c:f>'Dashboard 1'!$B$11:$B$16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8-43B8-92E2-B8B641DF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432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0</xdr:colOff>
      <xdr:row>19</xdr:row>
      <xdr:rowOff>0</xdr:rowOff>
    </xdr:from>
    <xdr:ext cx="252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25</xdr:row>
      <xdr:rowOff>38101</xdr:rowOff>
    </xdr:from>
    <xdr:to>
      <xdr:col>8</xdr:col>
      <xdr:colOff>136345</xdr:colOff>
      <xdr:row>44</xdr:row>
      <xdr:rowOff>83856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9160812-6664-59A1-DEE0-4FA0C4664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5181601"/>
          <a:ext cx="4394020" cy="3665255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</xdr:colOff>
      <xdr:row>25</xdr:row>
      <xdr:rowOff>28575</xdr:rowOff>
    </xdr:from>
    <xdr:to>
      <xdr:col>16</xdr:col>
      <xdr:colOff>10035</xdr:colOff>
      <xdr:row>50</xdr:row>
      <xdr:rowOff>13997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77A57EB-E91E-10DC-983F-7726F6FC5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05525" y="5172075"/>
          <a:ext cx="3658110" cy="4747922"/>
        </a:xfrm>
        <a:prstGeom prst="rect">
          <a:avLst/>
        </a:prstGeom>
      </xdr:spPr>
    </xdr:pic>
    <xdr:clientData/>
  </xdr:twoCellAnchor>
  <xdr:twoCellAnchor editAs="absolute">
    <xdr:from>
      <xdr:col>1</xdr:col>
      <xdr:colOff>13335</xdr:colOff>
      <xdr:row>66</xdr:row>
      <xdr:rowOff>34290</xdr:rowOff>
    </xdr:from>
    <xdr:to>
      <xdr:col>3</xdr:col>
      <xdr:colOff>18135</xdr:colOff>
      <xdr:row>67</xdr:row>
      <xdr:rowOff>95790</xdr:rowOff>
    </xdr:to>
    <xdr:sp macro="[0]!ExecutaUserForm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227602-C68C-EF07-719D-CF2156A72404}"/>
            </a:ext>
          </a:extLst>
        </xdr:cNvPr>
        <xdr:cNvSpPr/>
      </xdr:nvSpPr>
      <xdr:spPr>
        <a:xfrm>
          <a:off x="622935" y="12607290"/>
          <a:ext cx="1224000" cy="252000"/>
        </a:xfrm>
        <a:prstGeom prst="roundRect">
          <a:avLst/>
        </a:prstGeom>
        <a:solidFill>
          <a:srgbClr val="EAEAEA"/>
        </a:solidFill>
        <a:ln w="3175" cap="rnd">
          <a:solidFill>
            <a:schemeClr val="dk1">
              <a:shade val="95000"/>
              <a:satMod val="10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Executar macro</a:t>
          </a:r>
        </a:p>
      </xdr:txBody>
    </xdr:sp>
    <xdr:clientData/>
  </xdr:twoCellAnchor>
  <xdr:twoCellAnchor editAs="oneCell">
    <xdr:from>
      <xdr:col>1</xdr:col>
      <xdr:colOff>9525</xdr:colOff>
      <xdr:row>54</xdr:row>
      <xdr:rowOff>38100</xdr:rowOff>
    </xdr:from>
    <xdr:to>
      <xdr:col>7</xdr:col>
      <xdr:colOff>505405</xdr:colOff>
      <xdr:row>64</xdr:row>
      <xdr:rowOff>19313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3CE49C0-95E9-CA28-CB5B-17E1A2F91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" y="990600"/>
          <a:ext cx="4153480" cy="1886213"/>
        </a:xfrm>
        <a:prstGeom prst="rect">
          <a:avLst/>
        </a:prstGeom>
      </xdr:spPr>
    </xdr:pic>
    <xdr:clientData/>
  </xdr:twoCellAnchor>
  <xdr:twoCellAnchor>
    <xdr:from>
      <xdr:col>0</xdr:col>
      <xdr:colOff>333375</xdr:colOff>
      <xdr:row>60</xdr:row>
      <xdr:rowOff>38100</xdr:rowOff>
    </xdr:from>
    <xdr:to>
      <xdr:col>1</xdr:col>
      <xdr:colOff>19050</xdr:colOff>
      <xdr:row>61</xdr:row>
      <xdr:rowOff>28575</xdr:rowOff>
    </xdr:to>
    <xdr:sp macro="" textlink="">
      <xdr:nvSpPr>
        <xdr:cNvPr id="8" name="Seta: para a Direita 7">
          <a:extLst>
            <a:ext uri="{FF2B5EF4-FFF2-40B4-BE49-F238E27FC236}">
              <a16:creationId xmlns:a16="http://schemas.microsoft.com/office/drawing/2014/main" id="{A230681D-0D10-9AC0-B906-68F62510B809}"/>
            </a:ext>
          </a:extLst>
        </xdr:cNvPr>
        <xdr:cNvSpPr/>
      </xdr:nvSpPr>
      <xdr:spPr>
        <a:xfrm>
          <a:off x="333375" y="2133600"/>
          <a:ext cx="295275" cy="180975"/>
        </a:xfrm>
        <a:prstGeom prst="rightArrow">
          <a:avLst>
            <a:gd name="adj1" fmla="val 50000"/>
            <a:gd name="adj2" fmla="val 90000"/>
          </a:avLst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19050</xdr:colOff>
      <xdr:row>4</xdr:row>
      <xdr:rowOff>19051</xdr:rowOff>
    </xdr:from>
    <xdr:to>
      <xdr:col>7</xdr:col>
      <xdr:colOff>436814</xdr:colOff>
      <xdr:row>17</xdr:row>
      <xdr:rowOff>182678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201E13DC-3073-73A2-DCE4-D97B62479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" y="3638551"/>
          <a:ext cx="4075364" cy="26401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0</xdr:row>
      <xdr:rowOff>171450</xdr:rowOff>
    </xdr:from>
    <xdr:to>
      <xdr:col>2</xdr:col>
      <xdr:colOff>195300</xdr:colOff>
      <xdr:row>2</xdr:row>
      <xdr:rowOff>42450</xdr:rowOff>
    </xdr:to>
    <xdr:sp macro="[0]!ExecutaDashboar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87248F6-FA85-46B2-B282-1CE625EA0A06}"/>
            </a:ext>
          </a:extLst>
        </xdr:cNvPr>
        <xdr:cNvSpPr/>
      </xdr:nvSpPr>
      <xdr:spPr>
        <a:xfrm>
          <a:off x="133350" y="171450"/>
          <a:ext cx="1224000" cy="252000"/>
        </a:xfrm>
        <a:prstGeom prst="roundRect">
          <a:avLst/>
        </a:prstGeom>
        <a:solidFill>
          <a:srgbClr val="EAEAEA"/>
        </a:solidFill>
        <a:ln w="3175" cap="rnd">
          <a:solidFill>
            <a:schemeClr val="dk1">
              <a:shade val="95000"/>
              <a:satMod val="10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Executar macro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32384</xdr:colOff>
      <xdr:row>2</xdr:row>
      <xdr:rowOff>37146</xdr:rowOff>
    </xdr:from>
    <xdr:ext cx="10391776" cy="815435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ADE2D82A-55F8-397B-F820-0BC2E65218E5}"/>
                </a:ext>
              </a:extLst>
            </xdr:cNvPr>
            <xdr:cNvSpPr txBox="1"/>
          </xdr:nvSpPr>
          <xdr:spPr>
            <a:xfrm>
              <a:off x="1282064" y="402906"/>
              <a:ext cx="10391776" cy="8154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Explicação teórica da fórmula da </a:t>
              </a:r>
              <a:r>
                <a:rPr lang="pt-BR" sz="1100" b="1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de desconto indicado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Conceito de desconto de duplicatas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utilizado: desconto bancário simples.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As fórmulas são: </a:t>
              </a:r>
              <a:r>
                <a:rPr lang="pt-BR" sz="1100" b="0" baseline="0"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  <a:t>(1)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𝐷𝐵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</m:t>
                  </m:r>
                </m:oMath>
              </a14:m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×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𝑡𝑥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×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𝑝</m:t>
                  </m:r>
                </m:oMath>
              </a14:m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  (2)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𝑉𝐿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</m:oMath>
              </a14:m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𝐷𝐵</m:t>
                  </m:r>
                </m:oMath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𝐷𝐵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desconto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duplicata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receita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𝑉𝑁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𝑡𝑥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𝑡𝑎𝑥𝑎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𝑑𝑒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𝑑𝑒𝑠𝑐𝑜𝑛𝑡𝑜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𝑝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prazo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dio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</m:oMath>
              </a14:m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14:m>
                <m:oMath xmlns:m="http://schemas.openxmlformats.org/officeDocument/2006/math"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𝑉𝐿</m:t>
                  </m:r>
                  <m:r>
                    <a:rPr lang="pt-BR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pagar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ao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cedente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</m:oMath>
              </a14:m>
              <a:endParaRPr lang="pt-BR" i="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fórmula para o cálculo da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𝑑𝑒𝑠𝑐𝑜𝑛𝑡𝑜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𝑖𝑛𝑑𝑖𝑐𝑎𝑑𝑎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está incluído as tarifa cobrada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dos cedentes: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(1)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𝑅𝑒𝑐𝑒𝑖𝑡𝑎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𝑡𝑜𝑡𝑎𝑙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𝑑𝑎𝑠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𝑜𝑝𝑒𝑟𝑎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çõ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𝑒𝑠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=(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+⋯+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>
                  <a:effectLst/>
                </a:rPr>
                <a:t>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(2)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nor/>
                        </m:rPr>
                        <a:rPr lang="pt-BR" sz="110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Receita</m:t>
                      </m:r>
                      <m:r>
                        <m:rPr>
                          <m:nor/>
                        </m:rPr>
                        <a:rPr lang="pt-BR" sz="110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esperada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total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das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 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opera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çõ</m:t>
                      </m:r>
                      <m:r>
                        <m:rPr>
                          <m:nor/>
                        </m:rPr>
                        <a:rPr lang="pt-BR" sz="1100" b="0" i="1" baseline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es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+⋯+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onde</a:t>
              </a:r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𝑅𝑒𝑐𝑒𝑖𝑡𝑎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𝑜𝑝𝑒𝑟𝑎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çã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endParaRPr lang="pt-BR" i="0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𝑅𝑒𝑐𝑒𝑖𝑡𝑎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𝑒𝑠𝑝𝑒𝑟𝑎𝑑𝑎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𝑜𝑝𝑒𝑟𝑎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çã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r>
                    <m:rPr>
                      <m:nor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Para encontrar a</a:t>
              </a:r>
              <a14:m>
                <m:oMath xmlns:m="http://schemas.openxmlformats.org/officeDocument/2006/math"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𝑑𝑒𝑠𝑐𝑜𝑛𝑡𝑜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𝑖𝑛𝑑𝑖𝑐𝑎𝑑𝑎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é necessária calcular 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(1) 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média ponderada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(2) </a:t>
              </a:r>
              <a:r>
                <a:rPr lang="pt-BR" sz="110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prazo médio ponderado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 a (3)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taxa efetiva mensal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é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𝑝𝑜𝑛𝑑𝑒𝑟𝑎𝑑𝑎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𝑡𝑥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𝑡𝑥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+⋯+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𝑡𝑥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 </m:t>
                        </m:r>
                      </m:num>
                      <m:den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+⋯+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×30</m:t>
                        </m:r>
                      </m:den>
                    </m:f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𝑝𝑟𝑎𝑧𝑜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é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𝑑𝑖𝑜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𝑝𝑜𝑛𝑑𝑒𝑟𝑎𝑑𝑜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+⋯+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 </m:t>
                        </m:r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+⋯+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𝑒𝑓𝑒𝑡𝑖𝑣𝑎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nor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é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𝑑𝑖𝑎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𝑝𝑜𝑛𝑑𝑒𝑟𝑎𝑑𝑎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 </m:t>
                        </m:r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𝑝𝑟𝑎𝑧𝑜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é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𝑑𝑖𝑜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𝑝𝑜𝑛𝑑𝑒𝑟𝑎𝑑𝑜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𝑡𝑎𝑥𝑎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𝑑𝑒𝑠𝑐𝑜𝑛𝑡𝑜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𝑖𝑛𝑑𝑖𝑐𝑎𝑑𝑎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</m:oMath>
              </a14:m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deve satisfazer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 condição: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pt-BR" sz="110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Receita</m:t>
                        </m:r>
                        <m:r>
                          <m:rPr>
                            <m:nor/>
                          </m:rPr>
                          <a:rPr lang="pt-BR" sz="110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total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das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opera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çõ</m:t>
                        </m:r>
                        <m:r>
                          <m:rPr>
                            <m:nor/>
                          </m:rPr>
                          <a:rPr lang="pt-BR" sz="1100" b="0" i="1" baseline="0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es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𝑅𝑒𝑐𝑒𝑖𝑡𝑎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𝑒𝑠𝑝𝑒𝑟𝑎𝑑𝑎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𝑡𝑜𝑡𝑎𝑙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𝑑𝑎𝑠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𝑜𝑝𝑒𝑟𝑎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çõ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𝑒𝑠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⇒</m:t>
                    </m:r>
                  </m:oMath>
                </m:oMathPara>
              </a14:m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⇒ 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𝑡𝑥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𝑡𝑥𝑒𝑠𝑝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𝑡𝑥𝑒𝑠𝑝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+⋯+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𝑡𝑥𝑒𝑠𝑝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𝑡𝑎𝑟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𝑡𝑎𝑟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+⋯+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m:rPr>
                                <m:nor/>
                              </m:r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𝑝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𝑡𝑥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𝑡𝑎𝑟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⇒</m:t>
                    </m:r>
                  </m:oMath>
                </m:oMathPara>
              </a14:m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⇒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𝑑𝑒𝑠𝑐𝑜𝑛𝑡𝑜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𝑖𝑛𝑑𝑖𝑐𝑎𝑑𝑎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𝑅𝑒𝑐𝑒𝑖𝑡𝑎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𝑒𝑠𝑝𝑒𝑟𝑎𝑑𝑎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𝑡𝑜𝑡𝑎𝑙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𝑑𝑎𝑠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𝑜𝑝𝑒𝑟𝑎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çõ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𝑒𝑠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nor/>
                              </m:rPr>
                              <a:rPr lang="pt-BR" sz="110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Receita</m:t>
                            </m:r>
                            <m:r>
                              <m:rPr>
                                <m:nor/>
                              </m:rPr>
                              <a:rPr lang="pt-BR" sz="110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total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das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opera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çõ</m:t>
                            </m:r>
                            <m:r>
                              <m:rPr>
                                <m:nor/>
                              </m:rPr>
                              <a:rPr lang="pt-B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es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𝑡𝑎𝑟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num>
                      <m:den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𝑣𝑎𝑙𝑜𝑟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𝑜𝑝𝑒𝑟𝑎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çã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𝑝𝑟𝑎𝑧𝑜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é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𝑑𝑖𝑜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𝑜𝑝𝑒𝑟𝑎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çã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𝑣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valor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$)</m:t>
                  </m:r>
                </m:oMath>
              </a14:m>
              <a:endParaRPr lang="pt-BR" sz="1100" b="0" i="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prazo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dio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dias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pt-BR" i="0">
                <a:effectLst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taxa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desconto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(%)</m:t>
                  </m:r>
                </m:oMath>
              </a14:m>
              <a:endParaRPr lang="pt-BR" sz="1100" b="0" i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𝑡𝑎𝑟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tarifa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</m:oMath>
              </a14:m>
              <a:r>
                <a:rPr lang="pt-BR">
                  <a:effectLst/>
                </a:rPr>
                <a:t> (R$)</a:t>
              </a: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𝑡𝑥𝑒𝑠𝑝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taxa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desconto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í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nimo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da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</m:oMath>
              </a14:m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(%)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14:m>
                <m:oMath xmlns:m="http://schemas.openxmlformats.org/officeDocument/2006/math"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indica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realizada</m:t>
                  </m:r>
                </m:oMath>
              </a14:m>
              <a:endParaRPr lang="pt-BR" sz="1100" b="0" i="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14:m>
                <m:oMath xmlns:m="http://schemas.openxmlformats.org/officeDocument/2006/math"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𝑛</m:t>
                  </m:r>
                  <m: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é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ú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ltima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opera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çã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</m:t>
                  </m:r>
                  <m: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pt-BR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realizada</m:t>
                  </m:r>
                </m:oMath>
              </a14:m>
              <a:endParaRPr lang="pt-BR" i="0">
                <a:effectLst/>
              </a:endParaRPr>
            </a:p>
            <a:p>
              <a:endParaRPr lang="pt-BR">
                <a:effectLst/>
              </a:endParaRPr>
            </a:p>
          </xdr:txBody>
        </xdr:sp>
      </mc:Choice>
      <mc:Fallback xmlns="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ADE2D82A-55F8-397B-F820-0BC2E65218E5}"/>
                </a:ext>
              </a:extLst>
            </xdr:cNvPr>
            <xdr:cNvSpPr txBox="1"/>
          </xdr:nvSpPr>
          <xdr:spPr>
            <a:xfrm>
              <a:off x="1282064" y="402906"/>
              <a:ext cx="10391776" cy="815435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Explicação teórica da fórmula da </a:t>
              </a:r>
              <a:r>
                <a:rPr lang="pt-BR" sz="1100" b="1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de desconto indicado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Conceito de desconto de duplicatas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utilizado: desconto bancário simples.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As fórmulas são: </a:t>
              </a:r>
              <a:r>
                <a:rPr lang="pt-BR" sz="1100" b="0" baseline="0">
                  <a:solidFill>
                    <a:schemeClr val="tx1"/>
                  </a:solidFill>
                  <a:effectLst/>
                  <a:ea typeface="Cambria Math" panose="02040503050406030204" pitchFamily="18" charset="0"/>
                  <a:cs typeface="+mn-cs"/>
                </a:rPr>
                <a:t>(1)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𝐷𝐵=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×𝑡𝑥×𝑝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  (2)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𝑉𝐿=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VN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−𝐷𝐵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𝐷𝐵=valor do desconto de duplicata (receita da operação)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𝑉𝑁=valor da operação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𝑡𝑥=𝑡𝑎𝑥𝑎 𝑑𝑒 𝑑𝑒𝑠𝑐𝑜𝑛𝑡𝑜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𝑝=prazo médio da operação</a:t>
              </a:r>
              <a:endParaRPr lang="pt-BR" sz="1100" b="0" i="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𝑉𝐿=valor a pagar ao cedente da operação</a:t>
              </a:r>
              <a:endParaRPr lang="pt-BR" i="0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fórmula para o cálculo da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〖𝑡𝑎𝑥𝑎 𝑑𝑒 𝑑𝑒𝑠𝑐𝑜𝑛𝑡𝑜 𝑖𝑛𝑑𝑖𝑐𝑎𝑑𝑎〗_𝑛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está incluído as tarifa cobrada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dos cedentes: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(1)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〖𝑅𝑒𝑐𝑒𝑖𝑡𝑎 𝑡𝑜𝑡𝑎𝑙 𝑑𝑎𝑠 𝑜𝑝𝑒𝑟𝑎çõ𝑒𝑠〗_𝑛=(𝑣_1×" " 𝑝_1× 〖𝑡𝑥〗_1+〖𝑡𝑎𝑟〗_1+𝑣_2×" " 𝑝_2× 〖𝑡𝑥〗_2+〖𝑡𝑎𝑟〗_2+⋯+𝑣_𝑛×" " 𝑝_𝑛× 〖𝑡𝑥〗_𝑛+〖𝑡𝑎𝑟〗_𝑛</a:t>
              </a:r>
              <a:r>
                <a:rPr lang="pt-BR">
                  <a:effectLst/>
                </a:rPr>
                <a:t>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(2)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11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Receita esperada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total das operações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𝑛=〖(𝑣〗_1×" " 𝑝_1× 〖𝑡𝑥𝑒𝑠𝑝〗_1+" " 𝑣_2×" " 𝑝_2× 〖𝑡𝑥𝑒𝑠𝑝〗_2+⋯+𝑣_𝑛×" " 𝑝_𝑛× 〖𝑡𝑥𝑒𝑠𝑝〗_𝑛)</a:t>
              </a:r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onde</a:t>
              </a:r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endParaRPr lang="pt-BR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〖𝑅𝑒𝑐𝑒𝑖𝑡𝑎 𝑑𝑎 𝑜𝑝𝑒𝑟𝑎çã𝑜〗_𝑖=𝑣_𝑖×" " 𝑝_𝑖× 〖𝑡𝑥〗_𝑖+〖𝑡𝑎𝑟〗_𝑖</a:t>
              </a:r>
              <a:endParaRPr lang="pt-BR" i="0">
                <a:effectLst/>
              </a:endParaRPr>
            </a:p>
            <a:p>
              <a:pPr eaLnBrk="1" fontAlgn="auto" latinLnBrk="0" hangingPunct="1"/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〖𝑅𝑒𝑐𝑒𝑖𝑡𝑎 𝑒𝑠𝑝𝑒𝑟𝑎𝑑𝑎 𝑑𝑎 𝑜𝑝𝑒𝑟𝑎çã𝑜〗_𝑖=𝑣_𝑖×" " 𝑝_𝑖× 〖𝑡𝑥〗_𝑖</a:t>
              </a:r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Para encontrar a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〖𝑡𝑎𝑥𝑎 𝑑𝑒 𝑑𝑒𝑠𝑐𝑜𝑛𝑡𝑜 𝑖𝑛𝑑𝑖𝑐𝑎𝑑𝑎〗_𝑛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é necessária calcular 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(1) 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taxa média ponderada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(2) </a:t>
              </a:r>
              <a:r>
                <a:rPr lang="pt-BR" sz="110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prazo médio ponderado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 a (3)</a:t>
              </a:r>
              <a:r>
                <a:rPr lang="pt-BR" sz="110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taxa efetiva mensal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(1)  〖𝑡𝑎𝑥𝑎 𝑚é𝑑𝑖𝑎 𝑝𝑜𝑛𝑑𝑒𝑟𝑎𝑑𝑎〗_𝑛=(𝑣_1×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𝑝_1× 〖𝑡𝑥〗_1+〖𝑡𝑎𝑟〗_1+𝑣_2×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𝑝_2× 〖𝑡𝑥〗_2+〖𝑡𝑎𝑟〗_2+⋯+𝑣_𝑛×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𝑝_𝑛× 〖𝑡𝑥〗_𝑛+〖𝑡𝑎𝑟〗_𝑛   )/((𝑣_1+𝑣_2+⋯+𝑣_𝑛 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×30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(2)  〖𝑝𝑟𝑎𝑧𝑜 𝑚é𝑑𝑖𝑜 𝑝𝑜𝑛𝑑𝑒𝑟𝑎𝑑𝑜〗_𝑛=(𝑣_1×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𝑝_1+𝑣_2×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𝑝_2+⋯+𝑣_𝑛×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𝑝_𝑛   )/(𝑣_1+𝑣_2+⋯+𝑣_𝑛 )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(3)  〖𝑡𝑎𝑥𝑎 𝑒𝑓𝑒𝑡𝑖𝑣𝑎〗_𝑛=(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〖𝑡𝑎𝑥𝑎 𝑚é𝑑𝑖𝑎 𝑝𝑜𝑛𝑑𝑒𝑟𝑎𝑑𝑎〗_𝑛   )/〖𝑝𝑟𝑎𝑧𝑜 𝑚é𝑑𝑖𝑜 𝑝𝑜𝑛𝑑𝑒𝑟𝑎𝑑𝑜〗_𝑛 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〖𝑡𝑎𝑥𝑎 𝑑𝑒 𝑑𝑒𝑠𝑐𝑜𝑛𝑡𝑜 𝑖𝑛𝑑𝑖𝑐𝑎𝑑𝑎〗_𝑛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deve satisfazer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pt-BR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 condição:</a:t>
              </a:r>
              <a:r>
                <a:rPr lang="pt-BR" sz="110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11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Receita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total das operações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𝑛=〖𝑅𝑒𝑐𝑒𝑖𝑡𝑎 𝑒𝑠𝑝𝑒𝑟𝑎𝑑𝑎 𝑡𝑜𝑡𝑎𝑙 𝑑𝑎𝑠 𝑜𝑝𝑒𝑟𝑎çõ𝑒𝑠〗_𝑛  ⇒</a:t>
              </a: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⇒ 〖𝑡𝑥〗_𝑛=((𝑣_1×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𝑝_1×〖𝑡𝑥𝑒𝑠𝑝〗_1+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𝑝_2× 〖𝑡𝑥𝑒𝑠𝑝〗_2+⋯+𝑣_𝑛×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𝑝_𝑛×〖𝑡𝑥𝑒𝑠𝑝〗_𝑛 )−(𝑣_1×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𝑝_1×〖𝑡𝑥〗_1+〖𝑡𝑎𝑟〗_1+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𝑣_2×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𝑝_2×〖𝑡𝑥〗_2+〖𝑡𝑎𝑟〗_2+⋯+𝑣_(𝑛−1)×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𝑝_(𝑛−1)×〖𝑡𝑥〗_(𝑛−1)+〖𝑡𝑎𝑟〗_(𝑛−1) )−〖𝑡𝑎𝑟〗_𝑛)/(𝑣_𝑛×𝑝_𝑛 )⇒</a:t>
              </a:r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⇒〖𝑡𝑎𝑥𝑎 𝑑𝑒 𝑑𝑒𝑠𝑐𝑜𝑛𝑡𝑜 𝑖𝑛𝑑𝑖𝑐𝑎𝑑𝑎〗_𝑛=(〖𝑅𝑒𝑐𝑒𝑖𝑡𝑎 𝑒𝑠𝑝𝑒𝑟𝑎𝑑𝑎 𝑡𝑜𝑡𝑎𝑙 𝑑𝑎𝑠 𝑜𝑝𝑒𝑟𝑎çõ𝑒𝑠〗_𝑛− 〖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r>
                <a:rPr lang="pt-BR" sz="11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Receita 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total das operações</a:t>
              </a:r>
              <a:r>
                <a:rPr lang="pt-B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〗_(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𝑛−1)−〖𝑡𝑎𝑟〗_𝑛  )/(〖𝑣𝑎𝑙𝑜𝑟 𝑑𝑎 𝑜𝑝𝑒𝑟𝑎çã𝑜〗_𝑛×〖𝑝𝑟𝑎𝑧𝑜 𝑚é𝑑𝑖𝑜 𝑑𝑎 𝑜𝑝𝑒𝑟𝑎çã𝑜〗_𝑛 )</a:t>
              </a:r>
              <a:endParaRPr lang="pt-BR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pt-BR" sz="11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onde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𝑣_𝑖=valor da operação 𝑖 (R$)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𝑝_𝑖=prazo médio da operação 𝑖 (dias)</a:t>
              </a:r>
              <a:endParaRPr lang="pt-BR" i="0">
                <a:effectLst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〖𝑡𝑥〗_𝑖=taxa de desconto da operação 𝑖 (%)</a:t>
              </a:r>
              <a:endParaRPr lang="pt-BR" sz="1100" b="0" i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r>
                <a:rPr lang="pt-BR" sz="1100" b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〖𝑡𝑎𝑟〗_𝑖=tarifa da operação da operação 𝑖</a:t>
              </a:r>
              <a:r>
                <a:rPr lang="pt-BR">
                  <a:effectLst/>
                </a:rPr>
                <a:t> (R$)</a:t>
              </a:r>
            </a:p>
            <a:p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〖𝑡𝑥𝑒𝑠𝑝〗_𝑖=taxa de desconto mínimo da operação 𝑖</a:t>
              </a: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(%)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𝑖=indica a operação realizada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𝑛=é a última operação realizada</a:t>
              </a:r>
              <a:endParaRPr lang="pt-BR" i="0">
                <a:effectLst/>
              </a:endParaRPr>
            </a:p>
            <a:p>
              <a:endParaRPr lang="pt-BR">
                <a:effectLst/>
              </a:endParaRPr>
            </a:p>
          </xdr:txBody>
        </xdr:sp>
      </mc:Fallback>
    </mc:AlternateContent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Historico" displayName="Tabela_Historico" ref="A1:I4">
  <autoFilter ref="A1:I4" xr:uid="{00000000-0009-0000-0100-000001000000}"/>
  <tableColumns count="9">
    <tableColumn id="1" xr3:uid="{00000000-0010-0000-0000-000001000000}" name="Data"/>
    <tableColumn id="2" xr3:uid="{00000000-0010-0000-0000-000002000000}" name="Valor Operação (R$)"/>
    <tableColumn id="3" xr3:uid="{00000000-0010-0000-0000-000003000000}" name="Setor"/>
    <tableColumn id="4" xr3:uid="{00000000-0010-0000-0000-000004000000}" name="Rating"/>
    <tableColumn id="5" xr3:uid="{00000000-0010-0000-0000-000005000000}" name="Prazo (dias)"/>
    <tableColumn id="6" xr3:uid="{00000000-0010-0000-0000-000006000000}" name="CDI (a.a.)"/>
    <tableColumn id="7" xr3:uid="{00000000-0010-0000-0000-000007000000}" name="Taxa Final (a.a.)"/>
    <tableColumn id="8" xr3:uid="{00000000-0010-0000-0000-000008000000}" name="Taxa no Prazo"/>
    <tableColumn id="9" xr3:uid="{00000000-0010-0000-0000-000009000000}" name="Valor Líquido (R$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2"/>
  <sheetViews>
    <sheetView workbookViewId="0">
      <selection activeCell="F15" sqref="F15"/>
    </sheetView>
  </sheetViews>
  <sheetFormatPr defaultRowHeight="15" x14ac:dyDescent="0.25"/>
  <cols>
    <col min="1" max="1" width="6.5703125" bestFit="1" customWidth="1"/>
    <col min="2" max="2" width="17.42578125" bestFit="1" customWidth="1"/>
  </cols>
  <sheetData>
    <row r="1" spans="1:13" x14ac:dyDescent="0.25">
      <c r="A1" t="s">
        <v>4</v>
      </c>
      <c r="B1" t="s">
        <v>5</v>
      </c>
    </row>
    <row r="2" spans="1:13" x14ac:dyDescent="0.25">
      <c r="A2" t="s">
        <v>6</v>
      </c>
      <c r="B2" s="1">
        <v>0.01</v>
      </c>
    </row>
    <row r="3" spans="1:13" x14ac:dyDescent="0.25">
      <c r="A3" t="s">
        <v>7</v>
      </c>
      <c r="B3" s="1"/>
    </row>
    <row r="4" spans="1:13" x14ac:dyDescent="0.25">
      <c r="A4" t="s">
        <v>8</v>
      </c>
      <c r="B4" s="20"/>
      <c r="C4" s="8" t="s">
        <v>34</v>
      </c>
      <c r="D4" s="8"/>
      <c r="E4" s="8"/>
      <c r="F4" s="8"/>
      <c r="G4" s="8"/>
      <c r="H4" s="8"/>
      <c r="I4" s="8"/>
      <c r="J4" s="8"/>
      <c r="K4" s="8"/>
      <c r="L4" s="21" t="s">
        <v>53</v>
      </c>
      <c r="M4" s="21" t="s">
        <v>54</v>
      </c>
    </row>
    <row r="5" spans="1:13" x14ac:dyDescent="0.25">
      <c r="A5" t="s">
        <v>9</v>
      </c>
      <c r="B5" s="1"/>
      <c r="L5" s="19"/>
      <c r="M5" s="19"/>
    </row>
    <row r="6" spans="1:13" x14ac:dyDescent="0.25">
      <c r="A6" t="s">
        <v>10</v>
      </c>
      <c r="B6" s="1"/>
    </row>
    <row r="7" spans="1:13" x14ac:dyDescent="0.25">
      <c r="A7" t="s">
        <v>11</v>
      </c>
      <c r="B7" s="1"/>
      <c r="C7" s="8" t="s">
        <v>34</v>
      </c>
      <c r="D7" s="8"/>
      <c r="E7" s="8"/>
      <c r="F7" s="8"/>
      <c r="G7" s="8"/>
      <c r="H7" s="8"/>
      <c r="I7" s="8"/>
      <c r="J7" s="8"/>
      <c r="K7" s="8"/>
      <c r="L7" s="8" t="s">
        <v>53</v>
      </c>
      <c r="M7" s="8" t="s">
        <v>54</v>
      </c>
    </row>
    <row r="8" spans="1:13" x14ac:dyDescent="0.25">
      <c r="C8" t="s">
        <v>55</v>
      </c>
      <c r="L8" s="19">
        <v>0</v>
      </c>
      <c r="M8" s="19">
        <v>0</v>
      </c>
    </row>
    <row r="10" spans="1:13" x14ac:dyDescent="0.25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25">
      <c r="C11" s="8" t="s">
        <v>34</v>
      </c>
      <c r="D11" s="8"/>
      <c r="E11" s="8"/>
      <c r="F11" s="8"/>
      <c r="G11" s="8"/>
      <c r="H11" s="8"/>
      <c r="I11" s="8"/>
      <c r="J11" s="8"/>
      <c r="K11" s="8"/>
      <c r="L11" s="21" t="s">
        <v>53</v>
      </c>
      <c r="M11" s="21" t="s">
        <v>54</v>
      </c>
    </row>
    <row r="12" spans="1:13" x14ac:dyDescent="0.25">
      <c r="C12" t="s">
        <v>55</v>
      </c>
      <c r="L12" s="19">
        <v>0</v>
      </c>
      <c r="M12" s="19">
        <v>0</v>
      </c>
    </row>
    <row r="13" spans="1:13" x14ac:dyDescent="0.25">
      <c r="L13" s="19"/>
      <c r="M13" s="19"/>
    </row>
    <row r="14" spans="1:13" x14ac:dyDescent="0.25">
      <c r="L14" s="19"/>
      <c r="M14" s="19"/>
    </row>
    <row r="15" spans="1:13" x14ac:dyDescent="0.25">
      <c r="C15" s="8" t="s">
        <v>34</v>
      </c>
      <c r="D15" s="8"/>
      <c r="E15" s="8"/>
      <c r="F15" s="8"/>
      <c r="G15" s="8"/>
      <c r="H15" s="8"/>
      <c r="I15" s="8"/>
      <c r="J15" s="8"/>
      <c r="K15" s="8"/>
      <c r="L15" s="8" t="s">
        <v>53</v>
      </c>
      <c r="M15" s="8" t="s">
        <v>54</v>
      </c>
    </row>
    <row r="16" spans="1:13" x14ac:dyDescent="0.25">
      <c r="C16" t="s">
        <v>55</v>
      </c>
      <c r="L16" s="19">
        <v>0</v>
      </c>
      <c r="M16" s="19">
        <v>0</v>
      </c>
    </row>
    <row r="17" spans="3:13" x14ac:dyDescent="0.25">
      <c r="C17" t="s">
        <v>34</v>
      </c>
      <c r="L17" s="19">
        <v>0</v>
      </c>
      <c r="M17" s="19">
        <v>0</v>
      </c>
    </row>
    <row r="20" spans="3:13" x14ac:dyDescent="0.25">
      <c r="C20" s="8" t="s">
        <v>34</v>
      </c>
      <c r="D20" s="8"/>
      <c r="E20" s="8"/>
      <c r="F20" s="8"/>
      <c r="G20" s="8"/>
      <c r="H20" s="8"/>
      <c r="I20" s="8"/>
      <c r="J20" s="8"/>
      <c r="K20" s="8"/>
      <c r="L20" s="8" t="s">
        <v>53</v>
      </c>
      <c r="M20" s="8" t="s">
        <v>54</v>
      </c>
    </row>
    <row r="21" spans="3:13" x14ac:dyDescent="0.25">
      <c r="C21" t="s">
        <v>55</v>
      </c>
      <c r="L21" s="19">
        <v>0</v>
      </c>
      <c r="M21" s="19">
        <v>0</v>
      </c>
    </row>
    <row r="22" spans="3:13" x14ac:dyDescent="0.25">
      <c r="C22" t="s">
        <v>34</v>
      </c>
      <c r="L22" s="19">
        <v>0</v>
      </c>
      <c r="M22" s="19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4"/>
  <sheetViews>
    <sheetView workbookViewId="0">
      <selection activeCell="E15" sqref="E15"/>
    </sheetView>
  </sheetViews>
  <sheetFormatPr defaultRowHeight="15" x14ac:dyDescent="0.25"/>
  <cols>
    <col min="1" max="1" width="21.140625" bestFit="1" customWidth="1"/>
    <col min="2" max="2" width="13.42578125" bestFit="1" customWidth="1"/>
  </cols>
  <sheetData>
    <row r="1" spans="1:2" x14ac:dyDescent="0.25">
      <c r="A1" t="s">
        <v>12</v>
      </c>
      <c r="B1" t="s">
        <v>13</v>
      </c>
    </row>
    <row r="2" spans="1:2" x14ac:dyDescent="0.25">
      <c r="A2" t="s">
        <v>14</v>
      </c>
      <c r="B2" s="1">
        <v>0.01</v>
      </c>
    </row>
    <row r="3" spans="1:2" x14ac:dyDescent="0.25">
      <c r="A3" t="s">
        <v>15</v>
      </c>
      <c r="B3" s="1">
        <v>0</v>
      </c>
    </row>
    <row r="4" spans="1:2" x14ac:dyDescent="0.25">
      <c r="A4" t="s">
        <v>16</v>
      </c>
      <c r="B4" s="1">
        <v>-0.01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I4"/>
  <sheetViews>
    <sheetView workbookViewId="0">
      <selection activeCell="F17" sqref="F17"/>
    </sheetView>
  </sheetViews>
  <sheetFormatPr defaultRowHeight="15" x14ac:dyDescent="0.25"/>
  <sheetData>
    <row r="1" spans="1:9" x14ac:dyDescent="0.25">
      <c r="A1" t="s">
        <v>21</v>
      </c>
      <c r="B1" t="s">
        <v>22</v>
      </c>
      <c r="C1" t="s">
        <v>0</v>
      </c>
      <c r="D1" t="s">
        <v>4</v>
      </c>
      <c r="E1" t="s">
        <v>17</v>
      </c>
      <c r="F1" t="s">
        <v>18</v>
      </c>
      <c r="G1" t="s">
        <v>19</v>
      </c>
      <c r="H1" t="s">
        <v>20</v>
      </c>
      <c r="I1" t="s">
        <v>23</v>
      </c>
    </row>
    <row r="2" spans="1:9" x14ac:dyDescent="0.25">
      <c r="A2" t="s">
        <v>24</v>
      </c>
      <c r="B2">
        <v>1000000</v>
      </c>
      <c r="C2" t="s">
        <v>1</v>
      </c>
      <c r="D2" t="s">
        <v>8</v>
      </c>
      <c r="E2">
        <v>60</v>
      </c>
      <c r="F2">
        <v>0.11</v>
      </c>
      <c r="G2">
        <v>0.21</v>
      </c>
      <c r="H2">
        <v>3.5000000000000003E-2</v>
      </c>
      <c r="I2">
        <v>965000</v>
      </c>
    </row>
    <row r="3" spans="1:9" x14ac:dyDescent="0.25">
      <c r="A3" t="s">
        <v>24</v>
      </c>
      <c r="B3">
        <v>2000000</v>
      </c>
      <c r="C3" t="s">
        <v>2</v>
      </c>
      <c r="D3" t="s">
        <v>7</v>
      </c>
      <c r="E3">
        <v>90</v>
      </c>
      <c r="F3">
        <v>0.11</v>
      </c>
      <c r="G3">
        <v>0.19</v>
      </c>
      <c r="H3">
        <v>4.7500000000000001E-2</v>
      </c>
      <c r="I3">
        <v>1905000</v>
      </c>
    </row>
    <row r="4" spans="1:9" x14ac:dyDescent="0.25">
      <c r="A4" t="s">
        <v>24</v>
      </c>
      <c r="B4">
        <v>300000</v>
      </c>
      <c r="C4" t="s">
        <v>3</v>
      </c>
      <c r="D4" t="s">
        <v>10</v>
      </c>
      <c r="E4">
        <v>30</v>
      </c>
      <c r="F4">
        <v>0.11</v>
      </c>
      <c r="G4">
        <v>0.28000000000000003</v>
      </c>
      <c r="H4">
        <v>2.3300000000000001E-2</v>
      </c>
      <c r="I4">
        <v>293000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B16"/>
  <sheetViews>
    <sheetView workbookViewId="0">
      <selection activeCell="A16" sqref="A16"/>
    </sheetView>
  </sheetViews>
  <sheetFormatPr defaultRowHeight="15" x14ac:dyDescent="0.25"/>
  <cols>
    <col min="1" max="1" width="33.28515625" bestFit="1" customWidth="1"/>
    <col min="2" max="2" width="12" bestFit="1" customWidth="1"/>
  </cols>
  <sheetData>
    <row r="1" spans="1:2" x14ac:dyDescent="0.25">
      <c r="A1" t="s">
        <v>25</v>
      </c>
    </row>
    <row r="3" spans="1:2" x14ac:dyDescent="0.25">
      <c r="A3" t="s">
        <v>26</v>
      </c>
    </row>
    <row r="4" spans="1:2" x14ac:dyDescent="0.25">
      <c r="A4" t="s">
        <v>27</v>
      </c>
      <c r="B4">
        <f>COUNTA(Histórico!A2:A1000)</f>
        <v>3</v>
      </c>
    </row>
    <row r="5" spans="1:2" x14ac:dyDescent="0.25">
      <c r="A5" t="s">
        <v>28</v>
      </c>
      <c r="B5" s="2">
        <f>AVERAGE(Histórico!B2:B1000)</f>
        <v>1100000</v>
      </c>
    </row>
    <row r="6" spans="1:2" x14ac:dyDescent="0.25">
      <c r="A6" t="s">
        <v>29</v>
      </c>
      <c r="B6" s="1">
        <f>AVERAGE(Histórico!G2:G1000)</f>
        <v>0.22666666666666668</v>
      </c>
    </row>
    <row r="7" spans="1:2" x14ac:dyDescent="0.25">
      <c r="A7" t="s">
        <v>30</v>
      </c>
      <c r="B7" t="e">
        <f>MODE(Histórico!C2:C1000)</f>
        <v>#N/A</v>
      </c>
    </row>
    <row r="10" spans="1:2" x14ac:dyDescent="0.25">
      <c r="A10" t="s">
        <v>31</v>
      </c>
    </row>
    <row r="11" spans="1:2" x14ac:dyDescent="0.25">
      <c r="A11" t="s">
        <v>6</v>
      </c>
      <c r="B11">
        <f>COUNTIF(Histórico!D:D,"AAA")</f>
        <v>0</v>
      </c>
    </row>
    <row r="12" spans="1:2" x14ac:dyDescent="0.25">
      <c r="A12" t="s">
        <v>7</v>
      </c>
      <c r="B12">
        <f>COUNTIF(Histórico!D:D,"AA")</f>
        <v>1</v>
      </c>
    </row>
    <row r="13" spans="1:2" x14ac:dyDescent="0.25">
      <c r="A13" t="s">
        <v>8</v>
      </c>
      <c r="B13">
        <f>COUNTIF(Histórico!D:D,"A")</f>
        <v>1</v>
      </c>
    </row>
    <row r="14" spans="1:2" x14ac:dyDescent="0.25">
      <c r="A14" t="s">
        <v>9</v>
      </c>
      <c r="B14">
        <f>COUNTIF(Histórico!D:D,"BBB")</f>
        <v>0</v>
      </c>
    </row>
    <row r="15" spans="1:2" x14ac:dyDescent="0.25">
      <c r="A15" t="s">
        <v>10</v>
      </c>
      <c r="B15">
        <f>COUNTIF(Histórico!D:D,"BB")</f>
        <v>1</v>
      </c>
    </row>
    <row r="16" spans="1:2" x14ac:dyDescent="0.25">
      <c r="A16" t="s">
        <v>11</v>
      </c>
      <c r="B16">
        <f>COUNTIF(Histórico!D:D,"B")</f>
        <v>0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A496D-A408-4AF2-B315-C8C882DE540E}">
  <sheetPr codeName="Planilha1">
    <tabColor rgb="FFFFC000"/>
  </sheetPr>
  <dimension ref="B2:K66"/>
  <sheetViews>
    <sheetView showGridLines="0" workbookViewId="0">
      <selection activeCell="O7" sqref="O7"/>
    </sheetView>
  </sheetViews>
  <sheetFormatPr defaultColWidth="9.140625" defaultRowHeight="15" x14ac:dyDescent="0.25"/>
  <sheetData>
    <row r="2" spans="2:2" x14ac:dyDescent="0.25">
      <c r="B2" t="s">
        <v>90</v>
      </c>
    </row>
    <row r="3" spans="2:2" x14ac:dyDescent="0.25">
      <c r="B3" t="s">
        <v>60</v>
      </c>
    </row>
    <row r="4" spans="2:2" x14ac:dyDescent="0.25">
      <c r="B4" t="s">
        <v>61</v>
      </c>
    </row>
    <row r="20" spans="2:11" x14ac:dyDescent="0.25">
      <c r="B20" t="s">
        <v>64</v>
      </c>
    </row>
    <row r="21" spans="2:11" x14ac:dyDescent="0.25">
      <c r="B21" t="s">
        <v>92</v>
      </c>
    </row>
    <row r="22" spans="2:11" x14ac:dyDescent="0.25">
      <c r="B22" t="s">
        <v>65</v>
      </c>
    </row>
    <row r="23" spans="2:11" x14ac:dyDescent="0.25">
      <c r="B23" t="s">
        <v>66</v>
      </c>
    </row>
    <row r="24" spans="2:11" x14ac:dyDescent="0.25">
      <c r="B24" t="s">
        <v>67</v>
      </c>
    </row>
    <row r="25" spans="2:11" x14ac:dyDescent="0.25">
      <c r="B25" t="s">
        <v>62</v>
      </c>
      <c r="K25" t="s">
        <v>63</v>
      </c>
    </row>
    <row r="51" spans="2:2" x14ac:dyDescent="0.25">
      <c r="B51" s="8" t="s">
        <v>88</v>
      </c>
    </row>
    <row r="52" spans="2:2" x14ac:dyDescent="0.25">
      <c r="B52" t="s">
        <v>89</v>
      </c>
    </row>
    <row r="53" spans="2:2" x14ac:dyDescent="0.25">
      <c r="B53" t="s">
        <v>93</v>
      </c>
    </row>
    <row r="54" spans="2:2" x14ac:dyDescent="0.25">
      <c r="B54" t="s">
        <v>91</v>
      </c>
    </row>
    <row r="66" spans="2:2" x14ac:dyDescent="0.25">
      <c r="B66" t="s">
        <v>68</v>
      </c>
    </row>
  </sheetData>
  <sheetProtection algorithmName="SHA-512" hashValue="Z84h32IJRSzanB5WeCZYnsijaiS/VHX/0MbN7K/AHBI5ytnEGYvDfGr8VB/yIQVn2bUj/b48rJH+WthkSzdVlg==" saltValue="ni7P8u58nJpalWtThFktN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E495F-C82F-457E-A2F5-4F54F39E5C3E}">
  <sheetPr codeName="Planilha7">
    <tabColor rgb="FF81FFBA"/>
  </sheetPr>
  <dimension ref="B4:O10"/>
  <sheetViews>
    <sheetView tabSelected="1" zoomScaleNormal="100" workbookViewId="0">
      <pane ySplit="4" topLeftCell="A5" activePane="bottomLeft" state="frozen"/>
      <selection pane="bottomLeft" activeCell="D17" sqref="D17"/>
    </sheetView>
  </sheetViews>
  <sheetFormatPr defaultColWidth="8.85546875" defaultRowHeight="15" x14ac:dyDescent="0.25"/>
  <cols>
    <col min="1" max="1" width="1.7109375" style="4" customWidth="1"/>
    <col min="2" max="2" width="15.7109375" style="4" customWidth="1"/>
    <col min="3" max="3" width="12.85546875" style="4" bestFit="1" customWidth="1"/>
    <col min="4" max="4" width="15.7109375" style="4" customWidth="1"/>
    <col min="5" max="5" width="15.7109375" style="7" customWidth="1"/>
    <col min="6" max="6" width="12.7109375" style="6" customWidth="1"/>
    <col min="7" max="7" width="12.7109375" style="10" customWidth="1"/>
    <col min="8" max="8" width="12.7109375" style="9" customWidth="1"/>
    <col min="9" max="9" width="12.7109375" style="13" customWidth="1"/>
    <col min="10" max="12" width="16.7109375" style="14" customWidth="1"/>
    <col min="13" max="14" width="13.28515625" style="13" customWidth="1"/>
    <col min="15" max="15" width="12.7109375" style="15" customWidth="1"/>
    <col min="16" max="16" width="1.7109375" style="4" customWidth="1"/>
    <col min="17" max="16384" width="8.85546875" style="4"/>
  </cols>
  <sheetData>
    <row r="4" spans="2:15" ht="30" customHeight="1" x14ac:dyDescent="0.25">
      <c r="B4" s="4" t="s">
        <v>32</v>
      </c>
      <c r="C4" s="4" t="s">
        <v>34</v>
      </c>
      <c r="D4" s="4" t="s">
        <v>33</v>
      </c>
      <c r="E4" s="10" t="s">
        <v>35</v>
      </c>
      <c r="F4" s="12" t="s">
        <v>47</v>
      </c>
      <c r="G4" s="10" t="s">
        <v>42</v>
      </c>
      <c r="H4" s="11" t="s">
        <v>48</v>
      </c>
      <c r="I4" s="16" t="s">
        <v>46</v>
      </c>
      <c r="J4" s="17" t="s">
        <v>36</v>
      </c>
      <c r="K4" s="17" t="s">
        <v>41</v>
      </c>
      <c r="L4" s="17" t="s">
        <v>44</v>
      </c>
      <c r="M4" s="16" t="s">
        <v>57</v>
      </c>
      <c r="N4" s="16" t="s">
        <v>58</v>
      </c>
      <c r="O4" s="18" t="s">
        <v>49</v>
      </c>
    </row>
    <row r="5" spans="2:15" x14ac:dyDescent="0.25">
      <c r="B5" s="4" t="s">
        <v>37</v>
      </c>
      <c r="C5" s="4" t="s">
        <v>43</v>
      </c>
      <c r="D5" s="4" t="s">
        <v>40</v>
      </c>
      <c r="E5" s="7">
        <v>270000</v>
      </c>
      <c r="F5" s="6">
        <v>45</v>
      </c>
      <c r="G5" s="10">
        <v>150</v>
      </c>
      <c r="H5" s="9">
        <v>1.4500000000000001E-2</v>
      </c>
      <c r="I5" s="13">
        <f>VLOOKUP(C5,Parâmetros!$A$2:$B$5,2,0)</f>
        <v>1.9400000000000001E-2</v>
      </c>
      <c r="J5" s="14">
        <f>E5-K5-G5</f>
        <v>263827.5</v>
      </c>
      <c r="K5" s="14">
        <f>E5*F5*(H5/30)+G5</f>
        <v>6022.5</v>
      </c>
      <c r="L5" s="14">
        <f>E5*F5*(I5/30)</f>
        <v>7857</v>
      </c>
      <c r="M5" s="13" t="str">
        <f ca="1">IF(COLUMNS(E6:L6)=COUNTBLANK(E6:L6),SUM(K$5:INDIRECT(ADDRESS(ROW(K5),COLUMN(K5))))*(30/(SUMPRODUCT(E$5:INDIRECT(ADDRESS(ROW(E5),COLUMN(E5))),F$5:INDIRECT(ADDRESS(ROW(F5),COLUMN(F5)))))),"")</f>
        <v/>
      </c>
      <c r="N5" s="13" t="str">
        <f ca="1">IF(COLUMNS(E6:L6)=COUNTBLANK(E6:L6),SUM(L$5:INDIRECT(ADDRESS(ROW(L5),COLUMN(L5))))*(30/(SUMPRODUCT(E$5:INDIRECT(ADDRESS(ROW(E5),COLUMN(E5))),F$5:INDIRECT(ADDRESS(ROW(F5),COLUMN(F5)))))),"")</f>
        <v/>
      </c>
      <c r="O5" s="15" t="str">
        <f ca="1">IF(COLUMNS(E6:L6)=COUNTBLANK(E6:L6),(SUM(L$5:INDIRECT(ADDRESS(ROW(L5),COLUMN(L5))))-SUM(K$5:INDIRECT(ADDRESS(ROW(K4),COLUMN(K4))))-G5)/((E5)*(F5/30)-G5),"")</f>
        <v/>
      </c>
    </row>
    <row r="6" spans="2:15" x14ac:dyDescent="0.25">
      <c r="B6" s="4" t="s">
        <v>38</v>
      </c>
      <c r="C6" s="4" t="s">
        <v>11</v>
      </c>
      <c r="D6" s="4" t="s">
        <v>69</v>
      </c>
      <c r="E6" s="7">
        <v>390000</v>
      </c>
      <c r="F6" s="6">
        <v>44</v>
      </c>
      <c r="G6" s="10">
        <v>200</v>
      </c>
      <c r="H6" s="9">
        <v>2.1700000000000001E-2</v>
      </c>
      <c r="I6" s="13">
        <f>VLOOKUP(C6,Parâmetros!$A$2:$B$5,2,0)</f>
        <v>2.0799999999999999E-2</v>
      </c>
      <c r="J6" s="14">
        <f t="shared" ref="J6:J8" si="0">E6-K6-G6</f>
        <v>377187.6</v>
      </c>
      <c r="K6" s="14">
        <f t="shared" ref="K6:K8" si="1">E6*F6*(H6/30)+G6</f>
        <v>12612.4</v>
      </c>
      <c r="L6" s="14">
        <f t="shared" ref="L6:L8" si="2">E6*F6*(I6/30)</f>
        <v>11897.6</v>
      </c>
      <c r="M6" s="13" t="str">
        <f ca="1">IF(COLUMNS(E7:L7)=COUNTBLANK(E7:L7),SUM(K$5:INDIRECT(ADDRESS(ROW(K6),COLUMN(K6))))*(30/(SUMPRODUCT(E$5:INDIRECT(ADDRESS(ROW(E6),COLUMN(E6))),F$5:INDIRECT(ADDRESS(ROW(F6),COLUMN(F6)))))),"")</f>
        <v/>
      </c>
      <c r="N6" s="13" t="str">
        <f ca="1">IF(COLUMNS(E7:L7)=COUNTBLANK(E7:L7),SUM(L$5:INDIRECT(ADDRESS(ROW(L6),COLUMN(L6))))*(30/(SUMPRODUCT(E$5:INDIRECT(ADDRESS(ROW(E6),COLUMN(E6))),F$5:INDIRECT(ADDRESS(ROW(F6),COLUMN(F6)))))),"")</f>
        <v/>
      </c>
      <c r="O6" s="15" t="str">
        <f ca="1">IF(COLUMNS(E7:L7)=COUNTBLANK(E7:L7),(SUM(L$5:INDIRECT(ADDRESS(ROW(L6),COLUMN(L6))))-SUM(K$5:INDIRECT(ADDRESS(ROW(K5),COLUMN(K5))))-G6)/((E6)*(F6/30)-G6),"")</f>
        <v/>
      </c>
    </row>
    <row r="7" spans="2:15" x14ac:dyDescent="0.25">
      <c r="B7" s="4" t="s">
        <v>39</v>
      </c>
      <c r="C7" s="4" t="s">
        <v>43</v>
      </c>
      <c r="D7" s="4" t="s">
        <v>40</v>
      </c>
      <c r="E7" s="7">
        <v>370000</v>
      </c>
      <c r="F7" s="6">
        <v>35</v>
      </c>
      <c r="G7" s="10">
        <v>150</v>
      </c>
      <c r="H7" s="9">
        <v>1.9E-2</v>
      </c>
      <c r="I7" s="13">
        <f>VLOOKUP(C7,Parâmetros!$A$2:$B$5,2,0)</f>
        <v>1.9400000000000001E-2</v>
      </c>
      <c r="J7" s="14">
        <f t="shared" si="0"/>
        <v>361498.33333333331</v>
      </c>
      <c r="K7" s="14">
        <f t="shared" si="1"/>
        <v>8351.6666666666661</v>
      </c>
      <c r="L7" s="14">
        <f t="shared" si="2"/>
        <v>8374.3333333333339</v>
      </c>
      <c r="M7" s="13" t="str">
        <f ca="1">IF(COLUMNS(E8:L8)=COUNTBLANK(E8:L8),SUM(K$5:INDIRECT(ADDRESS(ROW(K7),COLUMN(K7))))*(30/(SUMPRODUCT(E$5:INDIRECT(ADDRESS(ROW(E7),COLUMN(E7))),F$5:INDIRECT(ADDRESS(ROW(F7),COLUMN(F7)))))),"")</f>
        <v/>
      </c>
      <c r="N7" s="13" t="str">
        <f ca="1">IF(COLUMNS(E8:L8)=COUNTBLANK(E8:L8),SUM(L$5:INDIRECT(ADDRESS(ROW(L7),COLUMN(L7))))*(30/(SUMPRODUCT(E$5:INDIRECT(ADDRESS(ROW(E7),COLUMN(E7))),F$5:INDIRECT(ADDRESS(ROW(F7),COLUMN(F7)))))),"")</f>
        <v/>
      </c>
      <c r="O7" s="15" t="str">
        <f ca="1">IF(COLUMNS(E8:L8)=COUNTBLANK(E8:L8),(SUM(L$5:INDIRECT(ADDRESS(ROW(L7),COLUMN(L7))))-SUM(K$5:INDIRECT(ADDRESS(ROW(K6),COLUMN(K6))))-G7)/((E7)*(F7/30)-G7),"")</f>
        <v/>
      </c>
    </row>
    <row r="8" spans="2:15" x14ac:dyDescent="0.25">
      <c r="B8" s="4" t="s">
        <v>51</v>
      </c>
      <c r="C8" s="4" t="s">
        <v>45</v>
      </c>
      <c r="D8" s="4" t="s">
        <v>70</v>
      </c>
      <c r="E8" s="7">
        <v>125000</v>
      </c>
      <c r="F8" s="6">
        <v>31</v>
      </c>
      <c r="G8" s="10">
        <v>200</v>
      </c>
      <c r="H8" s="9">
        <v>0.01</v>
      </c>
      <c r="I8" s="13">
        <f>VLOOKUP(C8,Parâmetros!$A$2:$B$5,2,0)</f>
        <v>3.32E-2</v>
      </c>
      <c r="J8" s="14">
        <f t="shared" si="0"/>
        <v>123308.33333333333</v>
      </c>
      <c r="K8" s="14">
        <f t="shared" si="1"/>
        <v>1491.6666666666665</v>
      </c>
      <c r="L8" s="14">
        <f>E8*F8*(I8/30)</f>
        <v>4288.333333333333</v>
      </c>
      <c r="M8" s="13" t="str">
        <f ca="1">IF(COLUMNS(E9:L9)=COUNTBLANK(E9:L9),SUM(K$5:INDIRECT(ADDRESS(ROW(K8),COLUMN(K8))))*(30/(SUMPRODUCT(E$5:INDIRECT(ADDRESS(ROW(E8),COLUMN(E8))),F$5:INDIRECT(ADDRESS(ROW(F8),COLUMN(F8)))))),"")</f>
        <v/>
      </c>
      <c r="N8" s="13" t="str">
        <f ca="1">IF(COLUMNS(E9:L9)=COUNTBLANK(E9:L9),SUM(L$5:INDIRECT(ADDRESS(ROW(L8),COLUMN(L8))))*(30/(SUMPRODUCT(E$5:INDIRECT(ADDRESS(ROW(E8),COLUMN(E8))),F$5:INDIRECT(ADDRESS(ROW(F8),COLUMN(F8)))))),"")</f>
        <v/>
      </c>
      <c r="O8" s="15" t="str">
        <f ca="1">IF(COLUMNS(E9:L9)=COUNTBLANK(E9:L9),(SUM(L$5:INDIRECT(ADDRESS(ROW(L8),COLUMN(L8))))-SUM(K$5:INDIRECT(ADDRESS(ROW(K7),COLUMN(K7))))-G8)/((E8)*(F8/30)-G8),"")</f>
        <v/>
      </c>
    </row>
    <row r="9" spans="2:15" x14ac:dyDescent="0.25">
      <c r="B9" s="4" t="s">
        <v>52</v>
      </c>
      <c r="C9" s="4" t="s">
        <v>56</v>
      </c>
      <c r="D9" s="4" t="s">
        <v>69</v>
      </c>
      <c r="E9" s="7">
        <v>601500</v>
      </c>
      <c r="F9" s="6">
        <v>39</v>
      </c>
      <c r="G9" s="10">
        <v>150</v>
      </c>
      <c r="H9" s="9">
        <v>2.0681578761833342E-2</v>
      </c>
      <c r="I9" s="13">
        <f>VLOOKUP(C9,Parâmetros!$A$2:$B$5,2,0)</f>
        <v>1.9400000000000001E-2</v>
      </c>
      <c r="J9" s="14">
        <f t="shared" ref="J9" si="3">E9-K9-G9</f>
        <v>585028.03948718437</v>
      </c>
      <c r="K9" s="14">
        <f t="shared" ref="K9" si="4">E9*F9*(H9/30)+G9</f>
        <v>16321.960512815582</v>
      </c>
      <c r="L9" s="14">
        <f t="shared" ref="L9" si="5">E9*F9*(I9/30)</f>
        <v>15169.83</v>
      </c>
      <c r="M9" s="13" t="str">
        <f ca="1">IF(COLUMNS(E10:L10)=COUNTBLANK(E10:L10),SUM(K$5:INDIRECT(ADDRESS(ROW(K9),COLUMN(K9))))*(30/(SUMPRODUCT(E$5:INDIRECT(ADDRESS(ROW(E9),COLUMN(E9))),F$5:INDIRECT(ADDRESS(ROW(F9),COLUMN(F9)))))),"")</f>
        <v/>
      </c>
      <c r="N9" s="13" t="str">
        <f ca="1">IF(COLUMNS(E10:L10)=COUNTBLANK(E10:L10),SUM(L$5:INDIRECT(ADDRESS(ROW(L9),COLUMN(L9))))*(30/(SUMPRODUCT(E$5:INDIRECT(ADDRESS(ROW(E9),COLUMN(E9))),F$5:INDIRECT(ADDRESS(ROW(F9),COLUMN(F9)))))),"")</f>
        <v/>
      </c>
      <c r="O9" s="15" t="str">
        <f ca="1">IF(COLUMNS(E10:L10)=COUNTBLANK(E10:L10),(SUM(L$5:INDIRECT(ADDRESS(ROW(L9),COLUMN(L9))))-SUM(K$5:INDIRECT(ADDRESS(ROW(K8),COLUMN(K8))))-G9)/((E9)*(F9/30)-G9),"")</f>
        <v/>
      </c>
    </row>
    <row r="10" spans="2:15" x14ac:dyDescent="0.25">
      <c r="B10" s="4" t="s">
        <v>71</v>
      </c>
      <c r="C10" s="4" t="s">
        <v>43</v>
      </c>
      <c r="D10" s="4" t="s">
        <v>40</v>
      </c>
      <c r="E10" s="7">
        <v>500000</v>
      </c>
      <c r="F10" s="6">
        <v>41</v>
      </c>
      <c r="G10" s="10">
        <v>200</v>
      </c>
      <c r="H10" s="9">
        <v>2.3192499493292305E-2</v>
      </c>
      <c r="I10" s="13">
        <f>VLOOKUP(C10,Parâmetros!$A$2:$B$5,2,0)</f>
        <v>1.9400000000000001E-2</v>
      </c>
      <c r="J10" s="14">
        <f t="shared" ref="J10" si="6">E10-K10-G10</f>
        <v>483751.79201291694</v>
      </c>
      <c r="K10" s="14">
        <f t="shared" ref="K10" si="7">E10*F10*(H10/30)+G10</f>
        <v>16048.207987083075</v>
      </c>
      <c r="L10" s="14">
        <f t="shared" ref="L10" si="8">E10*F10*(I10/30)</f>
        <v>13256.666666666668</v>
      </c>
      <c r="M10" s="13">
        <f ca="1">IF(COLUMNS(E11:L11)=COUNTBLANK(E11:L11),SUM(K$5:INDIRECT(ADDRESS(ROW(K10),COLUMN(K10))))*(30/(SUMPRODUCT(E$5:INDIRECT(ADDRESS(ROW(E10),COLUMN(E10))),F$5:INDIRECT(ADDRESS(ROW(F10),COLUMN(F10)))))),"")</f>
        <v>2.026175090319457E-2</v>
      </c>
      <c r="N10" s="13">
        <f ca="1">IF(COLUMNS(E11:L11)=COUNTBLANK(E11:L11),SUM(L$5:INDIRECT(ADDRESS(ROW(L10),COLUMN(L10))))*(30/(SUMPRODUCT(E$5:INDIRECT(ADDRESS(ROW(E10),COLUMN(E10))),F$5:INDIRECT(ADDRESS(ROW(F10),COLUMN(F10)))))),"")</f>
        <v>2.0260206341189989E-2</v>
      </c>
      <c r="O10" s="15">
        <f ca="1">IF(COLUMNS(E11:L11)=COUNTBLANK(E11:L11),(SUM(L$5:INDIRECT(ADDRESS(ROW(L10),COLUMN(L10))))-SUM(K$5:INDIRECT(ADDRESS(ROW(K9),COLUMN(K9))))-G10)/((E10)*(F10/30)-G10),"")</f>
        <v>2.3192499493292305E-2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8618B-A900-4798-AD67-27465C476D72}">
  <sheetPr codeName="Planilha6"/>
  <dimension ref="A1:B5"/>
  <sheetViews>
    <sheetView workbookViewId="0">
      <selection activeCell="F23" sqref="F23"/>
    </sheetView>
  </sheetViews>
  <sheetFormatPr defaultRowHeight="15" x14ac:dyDescent="0.25"/>
  <cols>
    <col min="1" max="1" width="12.85546875" bestFit="1" customWidth="1"/>
    <col min="2" max="2" width="16" customWidth="1"/>
  </cols>
  <sheetData>
    <row r="1" spans="1:2" x14ac:dyDescent="0.25">
      <c r="A1" s="4" t="s">
        <v>34</v>
      </c>
      <c r="B1" s="12" t="s">
        <v>50</v>
      </c>
    </row>
    <row r="2" spans="1:2" x14ac:dyDescent="0.25">
      <c r="A2" s="4" t="s">
        <v>43</v>
      </c>
      <c r="B2" s="5">
        <v>1.9400000000000001E-2</v>
      </c>
    </row>
    <row r="3" spans="1:2" x14ac:dyDescent="0.25">
      <c r="A3" s="4" t="s">
        <v>11</v>
      </c>
      <c r="B3" s="5">
        <v>2.0799999999999999E-2</v>
      </c>
    </row>
    <row r="4" spans="1:2" x14ac:dyDescent="0.25">
      <c r="A4" s="4" t="s">
        <v>45</v>
      </c>
      <c r="B4" s="5">
        <v>3.32E-2</v>
      </c>
    </row>
    <row r="5" spans="1:2" x14ac:dyDescent="0.25">
      <c r="A5" s="4" t="s">
        <v>56</v>
      </c>
      <c r="B5" s="5">
        <v>1.9400000000000001E-2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5067-6061-4C07-80AB-C898745A71C0}">
  <sheetPr codeName="Planilha8"/>
  <dimension ref="B1"/>
  <sheetViews>
    <sheetView workbookViewId="0">
      <selection activeCell="T4" sqref="T4"/>
    </sheetView>
  </sheetViews>
  <sheetFormatPr defaultColWidth="9.140625" defaultRowHeight="15" x14ac:dyDescent="0.25"/>
  <cols>
    <col min="1" max="16384" width="9.140625" style="3"/>
  </cols>
  <sheetData>
    <row r="1" spans="2:2" x14ac:dyDescent="0.25">
      <c r="B1" s="8" t="s">
        <v>59</v>
      </c>
    </row>
  </sheetData>
  <sheetProtection algorithmName="SHA-512" hashValue="nLxapGYxQWX+pDg0mA7s0jKNXT49Raab0OQLXmJ0mSXkWp7LQLoW+6rcieZy7cQBs5MRJFSLOwztpq6az4rfQg==" saltValue="XZylf/vOHj2KlHdy4VljT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7C027-3DFA-4A1A-816B-62C760112848}">
  <sheetPr codeName="Planilha9"/>
  <dimension ref="A1:F25"/>
  <sheetViews>
    <sheetView zoomScaleNormal="100" workbookViewId="0">
      <selection activeCell="H7" sqref="H7"/>
    </sheetView>
  </sheetViews>
  <sheetFormatPr defaultRowHeight="15" x14ac:dyDescent="0.25"/>
  <sheetData>
    <row r="1" spans="1:6" x14ac:dyDescent="0.25">
      <c r="A1" t="s">
        <v>72</v>
      </c>
      <c r="B1" t="s">
        <v>32</v>
      </c>
      <c r="C1" t="s">
        <v>33</v>
      </c>
      <c r="D1" t="s">
        <v>73</v>
      </c>
      <c r="E1" t="s">
        <v>74</v>
      </c>
      <c r="F1" t="s">
        <v>75</v>
      </c>
    </row>
    <row r="2" spans="1:6" x14ac:dyDescent="0.25">
      <c r="A2" t="s">
        <v>76</v>
      </c>
      <c r="B2" t="s">
        <v>77</v>
      </c>
      <c r="C2" t="s">
        <v>78</v>
      </c>
      <c r="D2">
        <v>150.25</v>
      </c>
      <c r="E2">
        <v>2.2999999999999998</v>
      </c>
      <c r="F2">
        <v>45</v>
      </c>
    </row>
    <row r="3" spans="1:6" x14ac:dyDescent="0.25">
      <c r="A3" t="s">
        <v>79</v>
      </c>
      <c r="B3" t="s">
        <v>80</v>
      </c>
      <c r="C3" t="s">
        <v>81</v>
      </c>
      <c r="D3">
        <v>120</v>
      </c>
      <c r="E3">
        <v>1.8</v>
      </c>
      <c r="F3">
        <v>60</v>
      </c>
    </row>
    <row r="15" spans="1:6" ht="23.25" x14ac:dyDescent="0.25">
      <c r="A15" s="22"/>
    </row>
    <row r="16" spans="1:6" x14ac:dyDescent="0.25">
      <c r="A16" s="23"/>
    </row>
    <row r="17" spans="1:1" x14ac:dyDescent="0.25">
      <c r="A17" s="23"/>
    </row>
    <row r="18" spans="1:1" x14ac:dyDescent="0.25">
      <c r="A18" s="23"/>
    </row>
    <row r="19" spans="1:1" x14ac:dyDescent="0.25">
      <c r="A19" s="23"/>
    </row>
    <row r="20" spans="1:1" x14ac:dyDescent="0.25">
      <c r="A20" s="23"/>
    </row>
    <row r="21" spans="1:1" x14ac:dyDescent="0.25">
      <c r="A21" s="23"/>
    </row>
    <row r="22" spans="1:1" x14ac:dyDescent="0.25">
      <c r="A22" s="23"/>
    </row>
    <row r="23" spans="1:1" x14ac:dyDescent="0.25">
      <c r="A23" s="23"/>
    </row>
    <row r="24" spans="1:1" x14ac:dyDescent="0.25">
      <c r="A24" s="23"/>
    </row>
    <row r="25" spans="1:1" x14ac:dyDescent="0.25">
      <c r="A25" s="2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68E-EB25-4D35-9A20-0C3B57481FFD}">
  <sheetPr codeName="Planilha10"/>
  <dimension ref="A1:H1"/>
  <sheetViews>
    <sheetView workbookViewId="0">
      <selection activeCell="N17" sqref="N17"/>
    </sheetView>
  </sheetViews>
  <sheetFormatPr defaultRowHeight="15" x14ac:dyDescent="0.25"/>
  <sheetData>
    <row r="1" spans="1:8" x14ac:dyDescent="0.25">
      <c r="A1" t="s">
        <v>32</v>
      </c>
      <c r="B1" t="s">
        <v>82</v>
      </c>
      <c r="C1" t="s">
        <v>33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Ratings</vt:lpstr>
      <vt:lpstr>Volume</vt:lpstr>
      <vt:lpstr>Histórico</vt:lpstr>
      <vt:lpstr>Dashboard 1</vt:lpstr>
      <vt:lpstr>Orientação</vt:lpstr>
      <vt:lpstr>Dashboard</vt:lpstr>
      <vt:lpstr>Parâmetros</vt:lpstr>
      <vt:lpstr>Descrição das fórmulas</vt:lpstr>
      <vt:lpstr>TEMP</vt:lpstr>
      <vt:lpstr>QPROF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Akihiko Sato</cp:lastModifiedBy>
  <dcterms:created xsi:type="dcterms:W3CDTF">2025-10-01T16:12:13Z</dcterms:created>
  <dcterms:modified xsi:type="dcterms:W3CDTF">2025-11-08T01:19:21Z</dcterms:modified>
</cp:coreProperties>
</file>